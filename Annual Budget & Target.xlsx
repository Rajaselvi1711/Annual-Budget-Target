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elvi.y\Downloads\"/>
    </mc:Choice>
  </mc:AlternateContent>
  <bookViews>
    <workbookView xWindow="0" yWindow="0" windowWidth="19200" windowHeight="7180"/>
  </bookViews>
  <sheets>
    <sheet name="Annual Budget Projections" sheetId="1" r:id="rId1"/>
  </sheets>
  <calcPr calcId="152511"/>
</workbook>
</file>

<file path=xl/calcChain.xml><?xml version="1.0" encoding="utf-8"?>
<calcChain xmlns="http://schemas.openxmlformats.org/spreadsheetml/2006/main">
  <c r="B41" i="1" l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40" i="1"/>
  <c r="B39" i="1"/>
  <c r="E38" i="1"/>
  <c r="F38" i="1" s="1"/>
  <c r="G38" i="1" s="1"/>
  <c r="H38" i="1" s="1"/>
  <c r="I38" i="1" s="1"/>
  <c r="D38" i="1"/>
  <c r="C38" i="1"/>
  <c r="C31" i="1" l="1"/>
  <c r="C17" i="1"/>
  <c r="D11" i="1"/>
  <c r="C11" i="1"/>
  <c r="C18" i="1" s="1"/>
  <c r="C33" i="1" s="1"/>
  <c r="D30" i="1"/>
  <c r="D29" i="1"/>
  <c r="D28" i="1"/>
  <c r="E28" i="1" s="1"/>
  <c r="D27" i="1"/>
  <c r="D26" i="1"/>
  <c r="E26" i="1" s="1"/>
  <c r="G26" i="1" s="1"/>
  <c r="D25" i="1"/>
  <c r="D24" i="1"/>
  <c r="E24" i="1" s="1"/>
  <c r="D23" i="1"/>
  <c r="D22" i="1"/>
  <c r="E22" i="1" s="1"/>
  <c r="G22" i="1" s="1"/>
  <c r="D21" i="1"/>
  <c r="D16" i="1"/>
  <c r="E16" i="1" s="1"/>
  <c r="D15" i="1"/>
  <c r="D14" i="1"/>
  <c r="E14" i="1" s="1"/>
  <c r="G14" i="1" s="1"/>
  <c r="D10" i="1"/>
  <c r="E10" i="1"/>
  <c r="F10" i="1" s="1"/>
  <c r="G9" i="1"/>
  <c r="F9" i="1"/>
  <c r="F11" i="1" s="1"/>
  <c r="E9" i="1"/>
  <c r="E11" i="1" s="1"/>
  <c r="D9" i="1"/>
  <c r="H9" i="1" l="1"/>
  <c r="G10" i="1"/>
  <c r="D17" i="1"/>
  <c r="D18" i="1" s="1"/>
  <c r="D31" i="1"/>
  <c r="D33" i="1" s="1"/>
  <c r="F21" i="1"/>
  <c r="F29" i="1"/>
  <c r="H22" i="1"/>
  <c r="I22" i="1" s="1"/>
  <c r="K22" i="1" s="1"/>
  <c r="G24" i="1"/>
  <c r="F24" i="1"/>
  <c r="F25" i="1"/>
  <c r="H14" i="1"/>
  <c r="H26" i="1"/>
  <c r="I26" i="1" s="1"/>
  <c r="K26" i="1" s="1"/>
  <c r="F27" i="1"/>
  <c r="G16" i="1"/>
  <c r="F16" i="1"/>
  <c r="G28" i="1"/>
  <c r="F28" i="1"/>
  <c r="E30" i="1"/>
  <c r="G30" i="1" s="1"/>
  <c r="F22" i="1"/>
  <c r="F26" i="1"/>
  <c r="E21" i="1"/>
  <c r="E25" i="1"/>
  <c r="G25" i="1" s="1"/>
  <c r="E29" i="1"/>
  <c r="G29" i="1" s="1"/>
  <c r="F14" i="1"/>
  <c r="E15" i="1"/>
  <c r="F15" i="1" s="1"/>
  <c r="E23" i="1"/>
  <c r="G23" i="1" s="1"/>
  <c r="E27" i="1"/>
  <c r="G27" i="1" s="1"/>
  <c r="I14" i="1" l="1"/>
  <c r="J14" i="1" s="1"/>
  <c r="H17" i="1"/>
  <c r="F17" i="1"/>
  <c r="F18" i="1" s="1"/>
  <c r="G21" i="1"/>
  <c r="G31" i="1" s="1"/>
  <c r="E31" i="1"/>
  <c r="E33" i="1" s="1"/>
  <c r="F23" i="1"/>
  <c r="F31" i="1" s="1"/>
  <c r="F33" i="1" s="1"/>
  <c r="F30" i="1"/>
  <c r="I9" i="1"/>
  <c r="H11" i="1"/>
  <c r="G15" i="1"/>
  <c r="G17" i="1" s="1"/>
  <c r="E17" i="1"/>
  <c r="E18" i="1" s="1"/>
  <c r="H10" i="1"/>
  <c r="I10" i="1" s="1"/>
  <c r="K10" i="1" s="1"/>
  <c r="J22" i="1"/>
  <c r="G11" i="1"/>
  <c r="H28" i="1"/>
  <c r="I28" i="1" s="1"/>
  <c r="K28" i="1" s="1"/>
  <c r="H29" i="1"/>
  <c r="I29" i="1" s="1"/>
  <c r="K29" i="1" s="1"/>
  <c r="H25" i="1"/>
  <c r="I25" i="1" s="1"/>
  <c r="K25" i="1" s="1"/>
  <c r="H16" i="1"/>
  <c r="I16" i="1" s="1"/>
  <c r="K16" i="1" s="1"/>
  <c r="H21" i="1"/>
  <c r="H24" i="1"/>
  <c r="I24" i="1" s="1"/>
  <c r="K24" i="1" s="1"/>
  <c r="H27" i="1"/>
  <c r="I27" i="1" s="1"/>
  <c r="K27" i="1" s="1"/>
  <c r="L26" i="1"/>
  <c r="M26" i="1" s="1"/>
  <c r="O26" i="1" s="1"/>
  <c r="H23" i="1"/>
  <c r="I23" i="1" s="1"/>
  <c r="K23" i="1" s="1"/>
  <c r="H30" i="1"/>
  <c r="I30" i="1" s="1"/>
  <c r="K30" i="1" s="1"/>
  <c r="J30" i="1"/>
  <c r="J26" i="1"/>
  <c r="H15" i="1"/>
  <c r="I15" i="1" s="1"/>
  <c r="K15" i="1" s="1"/>
  <c r="L22" i="1"/>
  <c r="M22" i="1" s="1"/>
  <c r="O22" i="1" s="1"/>
  <c r="N22" i="1" l="1"/>
  <c r="I21" i="1"/>
  <c r="H31" i="1"/>
  <c r="H33" i="1" s="1"/>
  <c r="G33" i="1"/>
  <c r="L10" i="1"/>
  <c r="M10" i="1" s="1"/>
  <c r="O10" i="1" s="1"/>
  <c r="N10" i="1"/>
  <c r="J10" i="1"/>
  <c r="G18" i="1"/>
  <c r="H18" i="1"/>
  <c r="I11" i="1"/>
  <c r="K9" i="1"/>
  <c r="J9" i="1"/>
  <c r="K14" i="1"/>
  <c r="I17" i="1"/>
  <c r="I18" i="1" s="1"/>
  <c r="L23" i="1"/>
  <c r="M23" i="1" s="1"/>
  <c r="O23" i="1" s="1"/>
  <c r="L28" i="1"/>
  <c r="M28" i="1" s="1"/>
  <c r="O28" i="1" s="1"/>
  <c r="J23" i="1"/>
  <c r="J21" i="1"/>
  <c r="J28" i="1"/>
  <c r="P26" i="1"/>
  <c r="Q26" i="1" s="1"/>
  <c r="L16" i="1"/>
  <c r="M16" i="1" s="1"/>
  <c r="O16" i="1" s="1"/>
  <c r="L15" i="1"/>
  <c r="M15" i="1" s="1"/>
  <c r="O15" i="1" s="1"/>
  <c r="N26" i="1"/>
  <c r="J16" i="1"/>
  <c r="J15" i="1"/>
  <c r="J17" i="1" s="1"/>
  <c r="L27" i="1"/>
  <c r="M27" i="1" s="1"/>
  <c r="O27" i="1" s="1"/>
  <c r="L25" i="1"/>
  <c r="M25" i="1" s="1"/>
  <c r="O25" i="1" s="1"/>
  <c r="N25" i="1"/>
  <c r="J27" i="1"/>
  <c r="J25" i="1"/>
  <c r="L24" i="1"/>
  <c r="M24" i="1" s="1"/>
  <c r="O24" i="1" s="1"/>
  <c r="L29" i="1"/>
  <c r="M29" i="1" s="1"/>
  <c r="O29" i="1" s="1"/>
  <c r="N29" i="1"/>
  <c r="P22" i="1"/>
  <c r="Q22" i="1" s="1"/>
  <c r="L30" i="1"/>
  <c r="M30" i="1" s="1"/>
  <c r="O30" i="1" s="1"/>
  <c r="J24" i="1"/>
  <c r="J29" i="1"/>
  <c r="K11" i="1" l="1"/>
  <c r="L9" i="1"/>
  <c r="J31" i="1"/>
  <c r="K17" i="1"/>
  <c r="K18" i="1" s="1"/>
  <c r="L14" i="1"/>
  <c r="R10" i="1"/>
  <c r="S10" i="1" s="1"/>
  <c r="P10" i="1"/>
  <c r="Q10" i="1" s="1"/>
  <c r="K21" i="1"/>
  <c r="I31" i="1"/>
  <c r="I33" i="1" s="1"/>
  <c r="J11" i="1"/>
  <c r="J18" i="1" s="1"/>
  <c r="N30" i="1"/>
  <c r="P15" i="1"/>
  <c r="Q15" i="1" s="1"/>
  <c r="R15" i="1"/>
  <c r="S15" i="1" s="1"/>
  <c r="P23" i="1"/>
  <c r="Q23" i="1" s="1"/>
  <c r="R23" i="1"/>
  <c r="N15" i="1"/>
  <c r="N23" i="1"/>
  <c r="R22" i="1"/>
  <c r="S22" i="1" s="1"/>
  <c r="P25" i="1"/>
  <c r="Q25" i="1" s="1"/>
  <c r="R25" i="1"/>
  <c r="S25" i="1" s="1"/>
  <c r="P16" i="1"/>
  <c r="Q16" i="1" s="1"/>
  <c r="P27" i="1"/>
  <c r="Q27" i="1" s="1"/>
  <c r="R27" i="1"/>
  <c r="N16" i="1"/>
  <c r="P29" i="1"/>
  <c r="Q29" i="1" s="1"/>
  <c r="N27" i="1"/>
  <c r="P28" i="1"/>
  <c r="Q28" i="1" s="1"/>
  <c r="P24" i="1"/>
  <c r="Q24" i="1" s="1"/>
  <c r="R26" i="1"/>
  <c r="S26" i="1" s="1"/>
  <c r="N28" i="1"/>
  <c r="N24" i="1"/>
  <c r="P30" i="1"/>
  <c r="Q30" i="1" s="1"/>
  <c r="R28" i="1" l="1"/>
  <c r="S28" i="1" s="1"/>
  <c r="J33" i="1"/>
  <c r="L11" i="1"/>
  <c r="M9" i="1"/>
  <c r="K31" i="1"/>
  <c r="K33" i="1" s="1"/>
  <c r="L21" i="1"/>
  <c r="M14" i="1"/>
  <c r="N14" i="1" s="1"/>
  <c r="N17" i="1" s="1"/>
  <c r="L17" i="1"/>
  <c r="R30" i="1"/>
  <c r="S30" i="1" s="1"/>
  <c r="R29" i="1"/>
  <c r="S29" i="1" s="1"/>
  <c r="S27" i="1"/>
  <c r="R24" i="1"/>
  <c r="S24" i="1" s="1"/>
  <c r="S23" i="1"/>
  <c r="R16" i="1"/>
  <c r="S16" i="1" s="1"/>
  <c r="O9" i="1" l="1"/>
  <c r="M11" i="1"/>
  <c r="N9" i="1"/>
  <c r="N11" i="1" s="1"/>
  <c r="N18" i="1" s="1"/>
  <c r="O14" i="1"/>
  <c r="M17" i="1"/>
  <c r="M18" i="1" s="1"/>
  <c r="M21" i="1"/>
  <c r="L31" i="1"/>
  <c r="L33" i="1" s="1"/>
  <c r="L18" i="1"/>
  <c r="O21" i="1" l="1"/>
  <c r="M31" i="1"/>
  <c r="M33" i="1" s="1"/>
  <c r="N21" i="1"/>
  <c r="N31" i="1" s="1"/>
  <c r="N33" i="1" s="1"/>
  <c r="O17" i="1"/>
  <c r="P14" i="1"/>
  <c r="O11" i="1"/>
  <c r="P9" i="1"/>
  <c r="O31" i="1" l="1"/>
  <c r="P21" i="1"/>
  <c r="Q14" i="1"/>
  <c r="Q17" i="1" s="1"/>
  <c r="P17" i="1"/>
  <c r="P11" i="1"/>
  <c r="Q9" i="1"/>
  <c r="R14" i="1"/>
  <c r="O18" i="1"/>
  <c r="S14" i="1" l="1"/>
  <c r="S17" i="1" s="1"/>
  <c r="R17" i="1"/>
  <c r="Q11" i="1"/>
  <c r="R9" i="1"/>
  <c r="P18" i="1"/>
  <c r="Q18" i="1"/>
  <c r="Q21" i="1"/>
  <c r="P31" i="1"/>
  <c r="P33" i="1" s="1"/>
  <c r="O33" i="1"/>
  <c r="Q31" i="1" l="1"/>
  <c r="Q33" i="1" s="1"/>
  <c r="R21" i="1"/>
  <c r="S9" i="1"/>
  <c r="S11" i="1" s="1"/>
  <c r="S18" i="1" s="1"/>
  <c r="R11" i="1"/>
  <c r="R18" i="1"/>
  <c r="S21" i="1" l="1"/>
  <c r="S31" i="1" s="1"/>
  <c r="S33" i="1" s="1"/>
  <c r="B7" i="1" s="1"/>
  <c r="B38" i="1" s="1"/>
  <c r="R31" i="1"/>
  <c r="R33" i="1" s="1"/>
</calcChain>
</file>

<file path=xl/sharedStrings.xml><?xml version="1.0" encoding="utf-8"?>
<sst xmlns="http://schemas.openxmlformats.org/spreadsheetml/2006/main" count="46" uniqueCount="43">
  <si>
    <t>Sales</t>
  </si>
  <si>
    <t>Material</t>
  </si>
  <si>
    <t>Transportation</t>
  </si>
  <si>
    <t>Utilities</t>
  </si>
  <si>
    <t>Gross Revenue</t>
  </si>
  <si>
    <t>Gross Profit</t>
  </si>
  <si>
    <t>Total Expenses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</si>
  <si>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</si>
  <si>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</si>
  <si>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</si>
  <si>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</si>
  <si>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</si>
  <si>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</si>
  <si>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</si>
  <si>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</si>
  <si>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</si>
  <si>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</si>
  <si>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</si>
  <si>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</si>
  <si>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</si>
  <si>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 1</t>
  </si>
  <si>
    <t>QTR 2</t>
  </si>
  <si>
    <t>QTR 3</t>
  </si>
  <si>
    <t>QTR 4</t>
  </si>
  <si>
    <t>Services</t>
  </si>
  <si>
    <t>Cost of Goods Sold</t>
  </si>
  <si>
    <t>General Related to COGS</t>
  </si>
  <si>
    <t>Expenses</t>
  </si>
  <si>
    <t>Advertisement</t>
  </si>
  <si>
    <t>Office Expenses</t>
  </si>
  <si>
    <t>Travelling Expenses</t>
  </si>
  <si>
    <t>Duties &amp; Taxes</t>
  </si>
  <si>
    <t>Admin Expenses</t>
  </si>
  <si>
    <t>Rent Expenses</t>
  </si>
  <si>
    <t>Salaries &amp; Wages</t>
  </si>
  <si>
    <t xml:space="preserve">Depreciation </t>
  </si>
  <si>
    <t>Bank Charges</t>
  </si>
  <si>
    <t>Annual Income &amp; Expenses Budget</t>
  </si>
  <si>
    <t>Total</t>
  </si>
  <si>
    <t>First Sale</t>
  </si>
  <si>
    <t>Increment</t>
  </si>
  <si>
    <t>Growth Rate</t>
  </si>
  <si>
    <t>2026 Income &amp; Expenses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</si>
</sst>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99"/>
      <name val="Calibri"/>
      <family val="2"/>
      <scheme val="minor"/>
    </font>
    <font>
      <b/>
      <sz val="11"/>
      <color rgb="FF000099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5" fontId="0" fillId="0" borderId="0" xfId="1" applyNumberFormat="1" applyFont="1"/>
    <xf numFmtId="165" fontId="0" fillId="0" borderId="2" xfId="1" applyNumberFormat="1" applyFont="1" applyBorder="1"/>
    <xf numFmtId="165" fontId="0" fillId="0" borderId="1" xfId="1" applyNumberFormat="1" applyFont="1" applyBorder="1"/>
    <xf numFmtId="164" fontId="4" fillId="0" borderId="0" xfId="2" applyNumberFormat="1" applyFont="1"/>
    <xf numFmtId="0" fontId="7" fillId="0" borderId="0" xfId="0" applyFont="1" applyFill="1"/>
    <xf numFmtId="165" fontId="9" fillId="6" borderId="0" xfId="0" applyNumberFormat="1" applyFont="1" applyFill="1"/>
    <xf numFmtId="165" fontId="11" fillId="0" borderId="0" xfId="1" applyNumberFormat="1" applyFont="1"/>
    <xf numFmtId="165" fontId="0" fillId="0" borderId="4" xfId="1" applyNumberFormat="1" applyFont="1" applyBorder="1"/>
    <xf numFmtId="10" fontId="6" fillId="4" borderId="4" xfId="0" applyNumberFormat="1" applyFont="1" applyFill="1" applyBorder="1"/>
    <xf numFmtId="165" fontId="6" fillId="4" borderId="4" xfId="1" applyNumberFormat="1" applyFont="1" applyFill="1" applyBorder="1"/>
    <xf numFmtId="0" fontId="1" fillId="0" borderId="5" xfId="0" applyFont="1" applyBorder="1"/>
    <xf numFmtId="165" fontId="12" fillId="0" borderId="1" xfId="1" applyNumberFormat="1" applyFont="1" applyBorder="1"/>
    <xf numFmtId="0" fontId="1" fillId="0" borderId="1" xfId="0" applyFont="1" applyBorder="1"/>
    <xf numFmtId="9" fontId="12" fillId="0" borderId="6" xfId="0" applyNumberFormat="1" applyFont="1" applyBorder="1"/>
    <xf numFmtId="0" fontId="1" fillId="0" borderId="7" xfId="0" applyFont="1" applyBorder="1"/>
    <xf numFmtId="165" fontId="12" fillId="0" borderId="8" xfId="1" applyNumberFormat="1" applyFont="1" applyBorder="1"/>
    <xf numFmtId="0" fontId="1" fillId="0" borderId="8" xfId="0" applyFont="1" applyBorder="1"/>
    <xf numFmtId="10" fontId="12" fillId="0" borderId="9" xfId="0" applyNumberFormat="1" applyFont="1" applyBorder="1"/>
    <xf numFmtId="165" fontId="10" fillId="6" borderId="4" xfId="0" applyNumberFormat="1" applyFont="1" applyFill="1" applyBorder="1"/>
    <xf numFmtId="165" fontId="8" fillId="0" borderId="3" xfId="1" applyNumberFormat="1" applyFont="1" applyBorder="1"/>
    <xf numFmtId="165" fontId="8" fillId="3" borderId="3" xfId="1" applyNumberFormat="1" applyFont="1" applyFill="1" applyBorder="1"/>
    <xf numFmtId="0" fontId="8" fillId="0" borderId="0" xfId="0" applyFont="1"/>
    <xf numFmtId="0" fontId="4" fillId="0" borderId="10" xfId="0" applyFont="1" applyBorder="1"/>
    <xf numFmtId="0" fontId="0" fillId="0" borderId="11" xfId="0" applyBorder="1" applyAlignment="1">
      <alignment horizontal="left" indent="1"/>
    </xf>
    <xf numFmtId="0" fontId="1" fillId="0" borderId="11" xfId="0" applyFont="1" applyBorder="1" applyAlignment="1">
      <alignment horizontal="left" indent="3"/>
    </xf>
    <xf numFmtId="0" fontId="0" fillId="0" borderId="11" xfId="0" applyBorder="1"/>
    <xf numFmtId="0" fontId="4" fillId="0" borderId="11" xfId="0" applyFont="1" applyBorder="1"/>
    <xf numFmtId="0" fontId="13" fillId="0" borderId="11" xfId="0" applyFont="1" applyBorder="1"/>
    <xf numFmtId="0" fontId="8" fillId="0" borderId="12" xfId="0" applyFont="1" applyBorder="1" applyAlignment="1">
      <alignment horizontal="left" indent="3"/>
    </xf>
    <xf numFmtId="0" fontId="1" fillId="3" borderId="0" xfId="0" applyFont="1" applyFill="1"/>
    <xf numFmtId="165" fontId="1" fillId="3" borderId="0" xfId="1" applyNumberFormat="1" applyFont="1" applyFill="1"/>
    <xf numFmtId="165" fontId="1" fillId="3" borderId="2" xfId="1" applyNumberFormat="1" applyFont="1" applyFill="1" applyBorder="1"/>
    <xf numFmtId="165" fontId="1" fillId="0" borderId="0" xfId="1" applyNumberFormat="1" applyFont="1"/>
    <xf numFmtId="165" fontId="1" fillId="3" borderId="1" xfId="1" applyNumberFormat="1" applyFont="1" applyFill="1" applyBorder="1"/>
    <xf numFmtId="0" fontId="14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5" fontId="1" fillId="0" borderId="2" xfId="1" applyNumberFormat="1" applyFont="1" applyBorder="1"/>
    <xf numFmtId="165" fontId="14" fillId="4" borderId="0" xfId="1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99"/>
      <color rgb="FF0033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showGridLines="0" tabSelected="1" topLeftCell="B30" zoomScale="85" zoomScaleNormal="85" workbookViewId="0">
      <selection activeCell="E45" sqref="E45"/>
    </sheetView>
  </sheetViews>
  <sheetFormatPr defaultRowHeight="14.5" x14ac:dyDescent="0.35"/>
  <cols>
    <col min="1" max="1" width="1.81640625" customWidth="1"/>
    <col min="2" max="2" width="26.81640625" customWidth="1"/>
    <col min="3" max="9" width="13.81640625" bestFit="1" customWidth="1"/>
    <col min="10" max="18" width="11.1796875" bestFit="1" customWidth="1"/>
    <col min="19" max="19" width="16.08984375" style="35" bestFit="1" customWidth="1"/>
  </cols>
  <sheetData>
    <row r="1" spans="1:24" ht="14.4" customHeight="1" x14ac:dyDescent="0.35">
      <c r="A1" s="1"/>
      <c r="B1" s="41" t="s">
        <v>37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1"/>
      <c r="U1" s="1"/>
      <c r="V1" s="1"/>
      <c r="W1" s="1"/>
      <c r="X1" s="1"/>
    </row>
    <row r="2" spans="1:24" ht="14.4" customHeight="1" x14ac:dyDescent="0.35">
      <c r="A2" s="2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2"/>
      <c r="U2" s="2"/>
      <c r="V2" s="2"/>
      <c r="W2" s="2"/>
      <c r="X2" s="2"/>
    </row>
    <row r="3" spans="1:24" ht="14.4" customHeight="1" x14ac:dyDescent="0.35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24" ht="5" customHeight="1" x14ac:dyDescent="0.35"/>
    <row r="5" spans="1:24" ht="21" x14ac:dyDescent="0.5">
      <c r="B5" s="42" t="s">
        <v>42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24" ht="5" customHeight="1" x14ac:dyDescent="0.35"/>
    <row r="7" spans="1:24" ht="18.5" x14ac:dyDescent="0.45">
      <c r="B7" s="8">
        <f>S33</f>
        <v>23360371.182374999</v>
      </c>
      <c r="C7" s="37" t="s">
        <v>8</v>
      </c>
      <c r="D7" s="37" t="s">
        <v>9</v>
      </c>
      <c r="E7" s="37" t="s">
        <v>10</v>
      </c>
      <c r="F7" s="38" t="s">
        <v>20</v>
      </c>
      <c r="G7" s="37" t="s">
        <v>11</v>
      </c>
      <c r="H7" s="37" t="s">
        <v>12</v>
      </c>
      <c r="I7" s="37" t="s">
        <v>13</v>
      </c>
      <c r="J7" s="38" t="s">
        <v>21</v>
      </c>
      <c r="K7" s="37" t="s">
        <v>14</v>
      </c>
      <c r="L7" s="37" t="s">
        <v>15</v>
      </c>
      <c r="M7" s="37" t="s">
        <v>16</v>
      </c>
      <c r="N7" s="38" t="s">
        <v>22</v>
      </c>
      <c r="O7" s="37" t="s">
        <v>17</v>
      </c>
      <c r="P7" s="37" t="s">
        <v>18</v>
      </c>
      <c r="Q7" s="37" t="s">
        <v>19</v>
      </c>
      <c r="R7" s="38" t="s">
        <v>23</v>
      </c>
      <c r="S7" s="40" t="s">
        <v>38</v>
      </c>
      <c r="T7" s="7"/>
      <c r="U7" s="7"/>
    </row>
    <row r="8" spans="1:24" x14ac:dyDescent="0.35">
      <c r="B8" s="25" t="s">
        <v>4</v>
      </c>
      <c r="C8" s="6">
        <v>0.01</v>
      </c>
      <c r="F8" s="32"/>
      <c r="G8" s="6">
        <v>0.03</v>
      </c>
      <c r="J8" s="32"/>
      <c r="K8" s="6">
        <v>2.5000000000000001E-2</v>
      </c>
      <c r="N8" s="32"/>
      <c r="O8" s="6">
        <v>0.04</v>
      </c>
      <c r="R8" s="32"/>
    </row>
    <row r="9" spans="1:24" x14ac:dyDescent="0.35">
      <c r="B9" s="26" t="s">
        <v>0</v>
      </c>
      <c r="C9" s="9">
        <v>1500000</v>
      </c>
      <c r="D9" s="3">
        <f>C9*(1+C$8)</f>
        <v>1515000</v>
      </c>
      <c r="E9" s="3">
        <f>D9*(1+C$8)</f>
        <v>1530150</v>
      </c>
      <c r="F9" s="33">
        <f>SUM(C9:E9)</f>
        <v>4545150</v>
      </c>
      <c r="G9" s="3">
        <f>E9*(1+G$8)</f>
        <v>1576054.5</v>
      </c>
      <c r="H9" s="3">
        <f>G9*(1+G$8)</f>
        <v>1623336.135</v>
      </c>
      <c r="I9" s="3">
        <f>H9*(1+G$8)</f>
        <v>1672036.21905</v>
      </c>
      <c r="J9" s="33">
        <f>SUM(G9:I9)</f>
        <v>4871426.8540499993</v>
      </c>
      <c r="K9" s="3">
        <f>I9*(1+K$8)</f>
        <v>1713837.1245262497</v>
      </c>
      <c r="L9" s="3">
        <f>K9*(1+K$8)</f>
        <v>1756683.0526394057</v>
      </c>
      <c r="M9" s="3">
        <f>L9*(1+K$8)</f>
        <v>1800600.1289553908</v>
      </c>
      <c r="N9" s="33">
        <f>SUM(K9:M9)</f>
        <v>5271120.3061210457</v>
      </c>
      <c r="O9" s="3">
        <f>M9*(1+O$8)</f>
        <v>1872624.1341136065</v>
      </c>
      <c r="P9" s="3">
        <f>O9*(1+O$8)</f>
        <v>1947529.099478151</v>
      </c>
      <c r="Q9" s="3">
        <f>P9*(1+O$8)</f>
        <v>2025430.2634572771</v>
      </c>
      <c r="R9" s="33">
        <f>SUM(O9:Q9)</f>
        <v>5845583.4970490346</v>
      </c>
      <c r="S9" s="3">
        <f>SUM(R9,N9,J9,F9)</f>
        <v>20533280.65722008</v>
      </c>
    </row>
    <row r="10" spans="1:24" ht="15" thickBot="1" x14ac:dyDescent="0.4">
      <c r="B10" s="26" t="s">
        <v>24</v>
      </c>
      <c r="C10" s="9">
        <v>890000</v>
      </c>
      <c r="D10" s="3">
        <f>C10*(1+C$8)</f>
        <v>898900</v>
      </c>
      <c r="E10" s="3">
        <f>D10*(1+C$8)</f>
        <v>907889</v>
      </c>
      <c r="F10" s="33">
        <f>SUM(C10:E10)</f>
        <v>2696789</v>
      </c>
      <c r="G10" s="3">
        <f>E10*(1+G$8)</f>
        <v>935125.67</v>
      </c>
      <c r="H10" s="3">
        <f>G10*(1+G$8)</f>
        <v>963179.44010000012</v>
      </c>
      <c r="I10" s="3">
        <f>H10*(1+G$8)</f>
        <v>992074.82330300019</v>
      </c>
      <c r="J10" s="33">
        <f>SUM(G10:I10)</f>
        <v>2890379.9334030002</v>
      </c>
      <c r="K10" s="3">
        <f>I10*(1+K$8)</f>
        <v>1016876.693885575</v>
      </c>
      <c r="L10" s="3">
        <f>K10*(1+K$8)</f>
        <v>1042298.6112327144</v>
      </c>
      <c r="M10" s="3">
        <f>L10*(1+K$8)</f>
        <v>1068356.0765135321</v>
      </c>
      <c r="N10" s="33">
        <f>SUM(K10:M10)</f>
        <v>3127531.3816318214</v>
      </c>
      <c r="O10" s="3">
        <f>M10*(1+O$8)</f>
        <v>1111090.3195740734</v>
      </c>
      <c r="P10" s="3">
        <f>O10*(1+O$8)</f>
        <v>1155533.9323570365</v>
      </c>
      <c r="Q10" s="3">
        <f>P10*(1+O$8)</f>
        <v>1201755.289651318</v>
      </c>
      <c r="R10" s="33">
        <f>SUM(O10:Q10)</f>
        <v>3468379.5415824279</v>
      </c>
      <c r="S10" s="3">
        <f>SUM(R10,N10,J10,F10)</f>
        <v>12183079.85661725</v>
      </c>
    </row>
    <row r="11" spans="1:24" ht="15" thickBot="1" x14ac:dyDescent="0.4">
      <c r="B11" s="27" t="s">
        <v>4</v>
      </c>
      <c r="C11" s="4">
        <f>SUM(C9:C10)</f>
        <v>2390000</v>
      </c>
      <c r="D11" s="4">
        <f t="shared" ref="D11:S11" si="0">SUM(D9:D10)</f>
        <v>2413900</v>
      </c>
      <c r="E11" s="4">
        <f t="shared" si="0"/>
        <v>2438039</v>
      </c>
      <c r="F11" s="34">
        <f t="shared" si="0"/>
        <v>7241939</v>
      </c>
      <c r="G11" s="4">
        <f t="shared" si="0"/>
        <v>2511180.17</v>
      </c>
      <c r="H11" s="4">
        <f t="shared" si="0"/>
        <v>2586515.5751</v>
      </c>
      <c r="I11" s="4">
        <f t="shared" si="0"/>
        <v>2664111.042353</v>
      </c>
      <c r="J11" s="34">
        <f t="shared" si="0"/>
        <v>7761806.7874529995</v>
      </c>
      <c r="K11" s="4">
        <f t="shared" si="0"/>
        <v>2730713.8184118248</v>
      </c>
      <c r="L11" s="4">
        <f t="shared" si="0"/>
        <v>2798981.66387212</v>
      </c>
      <c r="M11" s="4">
        <f t="shared" si="0"/>
        <v>2868956.2054689229</v>
      </c>
      <c r="N11" s="34">
        <f t="shared" si="0"/>
        <v>8398651.6877528671</v>
      </c>
      <c r="O11" s="4">
        <f t="shared" si="0"/>
        <v>2983714.45368768</v>
      </c>
      <c r="P11" s="4">
        <f t="shared" si="0"/>
        <v>3103063.0318351872</v>
      </c>
      <c r="Q11" s="4">
        <f t="shared" si="0"/>
        <v>3227185.5531085953</v>
      </c>
      <c r="R11" s="34">
        <f t="shared" si="0"/>
        <v>9313963.0386314616</v>
      </c>
      <c r="S11" s="39">
        <f t="shared" si="0"/>
        <v>32716360.51383733</v>
      </c>
    </row>
    <row r="12" spans="1:24" x14ac:dyDescent="0.35">
      <c r="B12" s="28"/>
      <c r="C12" s="3"/>
      <c r="D12" s="3"/>
      <c r="E12" s="3"/>
      <c r="F12" s="35"/>
      <c r="G12" s="3"/>
      <c r="H12" s="3"/>
      <c r="I12" s="3"/>
      <c r="J12" s="35"/>
      <c r="K12" s="3"/>
      <c r="L12" s="3"/>
      <c r="M12" s="3"/>
      <c r="N12" s="35"/>
      <c r="O12" s="3"/>
      <c r="P12" s="3"/>
      <c r="Q12" s="3"/>
      <c r="R12" s="35"/>
    </row>
    <row r="13" spans="1:24" x14ac:dyDescent="0.35">
      <c r="B13" s="29" t="s">
        <v>25</v>
      </c>
      <c r="C13" s="3"/>
      <c r="D13" s="3"/>
      <c r="E13" s="3"/>
      <c r="F13" s="35"/>
      <c r="G13" s="3"/>
      <c r="H13" s="3"/>
      <c r="I13" s="3"/>
      <c r="J13" s="35"/>
      <c r="K13" s="3"/>
      <c r="L13" s="3"/>
      <c r="M13" s="3"/>
      <c r="N13" s="35"/>
      <c r="O13" s="3"/>
      <c r="P13" s="3"/>
      <c r="Q13" s="3"/>
      <c r="R13" s="35"/>
    </row>
    <row r="14" spans="1:24" x14ac:dyDescent="0.35">
      <c r="B14" s="26" t="s">
        <v>1</v>
      </c>
      <c r="C14" s="9">
        <v>300000</v>
      </c>
      <c r="D14" s="3">
        <f t="shared" ref="D14:D16" si="1">C14*(1+C$8)</f>
        <v>303000</v>
      </c>
      <c r="E14" s="3">
        <f t="shared" ref="E14:E16" si="2">D14*(1+C$8)</f>
        <v>306030</v>
      </c>
      <c r="F14" s="33">
        <f t="shared" ref="F14:F16" si="3">SUM(C14:E14)</f>
        <v>909030</v>
      </c>
      <c r="G14" s="3">
        <f t="shared" ref="G14:G16" si="4">E14*(1+G$8)</f>
        <v>315210.90000000002</v>
      </c>
      <c r="H14" s="3">
        <f t="shared" ref="H14:H16" si="5">G14*(1+G$8)</f>
        <v>324667.22700000001</v>
      </c>
      <c r="I14" s="3">
        <f t="shared" ref="I14:I16" si="6">H14*(1+G$8)</f>
        <v>334407.24381000001</v>
      </c>
      <c r="J14" s="33">
        <f t="shared" ref="J14:J16" si="7">SUM(G14:I14)</f>
        <v>974285.37081000011</v>
      </c>
      <c r="K14" s="3">
        <f t="shared" ref="K14:K16" si="8">I14*(1+K$8)</f>
        <v>342767.42490524997</v>
      </c>
      <c r="L14" s="3">
        <f t="shared" ref="L14:L16" si="9">K14*(1+K$8)</f>
        <v>351336.61052788119</v>
      </c>
      <c r="M14" s="3">
        <f t="shared" ref="M14:M16" si="10">L14*(1+K$8)</f>
        <v>360120.02579107817</v>
      </c>
      <c r="N14" s="33">
        <f t="shared" ref="N14:N16" si="11">SUM(K14:M14)</f>
        <v>1054224.0612242094</v>
      </c>
      <c r="O14" s="3">
        <f t="shared" ref="O14:O16" si="12">M14*(1+O$8)</f>
        <v>374524.82682272128</v>
      </c>
      <c r="P14" s="3">
        <f t="shared" ref="P14:P16" si="13">O14*(1+O$8)</f>
        <v>389505.81989563012</v>
      </c>
      <c r="Q14" s="3">
        <f t="shared" ref="Q14:Q16" si="14">P14*(1+O$8)</f>
        <v>405086.05269145535</v>
      </c>
      <c r="R14" s="33">
        <f t="shared" ref="R14:R16" si="15">SUM(O14:Q14)</f>
        <v>1169116.6994098066</v>
      </c>
      <c r="S14" s="3">
        <f t="shared" ref="S14:S16" si="16">SUM(R14,N14,J14,F14)</f>
        <v>4106656.1314440165</v>
      </c>
    </row>
    <row r="15" spans="1:24" x14ac:dyDescent="0.35">
      <c r="B15" s="26" t="s">
        <v>2</v>
      </c>
      <c r="C15" s="9">
        <v>25000</v>
      </c>
      <c r="D15" s="3">
        <f t="shared" si="1"/>
        <v>25250</v>
      </c>
      <c r="E15" s="3">
        <f t="shared" si="2"/>
        <v>25502.5</v>
      </c>
      <c r="F15" s="33">
        <f t="shared" si="3"/>
        <v>75752.5</v>
      </c>
      <c r="G15" s="3">
        <f t="shared" si="4"/>
        <v>26267.575000000001</v>
      </c>
      <c r="H15" s="3">
        <f t="shared" si="5"/>
        <v>27055.60225</v>
      </c>
      <c r="I15" s="3">
        <f t="shared" si="6"/>
        <v>27867.270317500002</v>
      </c>
      <c r="J15" s="33">
        <f t="shared" si="7"/>
        <v>81190.447567499999</v>
      </c>
      <c r="K15" s="3">
        <f t="shared" si="8"/>
        <v>28563.952075437501</v>
      </c>
      <c r="L15" s="3">
        <f t="shared" si="9"/>
        <v>29278.050877323436</v>
      </c>
      <c r="M15" s="3">
        <f t="shared" si="10"/>
        <v>30010.002149256521</v>
      </c>
      <c r="N15" s="33">
        <f t="shared" si="11"/>
        <v>87852.005102017458</v>
      </c>
      <c r="O15" s="3">
        <f t="shared" si="12"/>
        <v>31210.402235226782</v>
      </c>
      <c r="P15" s="3">
        <f t="shared" si="13"/>
        <v>32458.818324635853</v>
      </c>
      <c r="Q15" s="3">
        <f t="shared" si="14"/>
        <v>33757.171057621286</v>
      </c>
      <c r="R15" s="33">
        <f t="shared" si="15"/>
        <v>97426.391617483925</v>
      </c>
      <c r="S15" s="3">
        <f t="shared" si="16"/>
        <v>342221.34428700141</v>
      </c>
    </row>
    <row r="16" spans="1:24" x14ac:dyDescent="0.35">
      <c r="B16" s="26" t="s">
        <v>26</v>
      </c>
      <c r="C16" s="9">
        <v>12575</v>
      </c>
      <c r="D16" s="3">
        <f t="shared" si="1"/>
        <v>12700.75</v>
      </c>
      <c r="E16" s="3">
        <f t="shared" si="2"/>
        <v>12827.7575</v>
      </c>
      <c r="F16" s="33">
        <f t="shared" si="3"/>
        <v>38103.5075</v>
      </c>
      <c r="G16" s="3">
        <f t="shared" si="4"/>
        <v>13212.590225</v>
      </c>
      <c r="H16" s="3">
        <f t="shared" si="5"/>
        <v>13608.967931749999</v>
      </c>
      <c r="I16" s="3">
        <f t="shared" si="6"/>
        <v>14017.236969702501</v>
      </c>
      <c r="J16" s="33">
        <f t="shared" si="7"/>
        <v>40838.795126452496</v>
      </c>
      <c r="K16" s="3">
        <f t="shared" si="8"/>
        <v>14367.667893945061</v>
      </c>
      <c r="L16" s="3">
        <f t="shared" si="9"/>
        <v>14726.859591293687</v>
      </c>
      <c r="M16" s="3">
        <f t="shared" si="10"/>
        <v>15095.031081076027</v>
      </c>
      <c r="N16" s="33">
        <f t="shared" si="11"/>
        <v>44189.558566314779</v>
      </c>
      <c r="O16" s="3">
        <f t="shared" si="12"/>
        <v>15698.83232431907</v>
      </c>
      <c r="P16" s="3">
        <f t="shared" si="13"/>
        <v>16326.785617291833</v>
      </c>
      <c r="Q16" s="3">
        <f t="shared" si="14"/>
        <v>16979.857041983505</v>
      </c>
      <c r="R16" s="33">
        <f t="shared" si="15"/>
        <v>49005.474983594409</v>
      </c>
      <c r="S16" s="3">
        <f t="shared" si="16"/>
        <v>172137.33617636168</v>
      </c>
    </row>
    <row r="17" spans="2:19" ht="15" thickBot="1" x14ac:dyDescent="0.4">
      <c r="B17" s="27" t="s">
        <v>25</v>
      </c>
      <c r="C17" s="5">
        <f>SUM(C14:C16)</f>
        <v>337575</v>
      </c>
      <c r="D17" s="5">
        <f t="shared" ref="D17:S17" si="17">SUM(D14:D16)</f>
        <v>340950.75</v>
      </c>
      <c r="E17" s="5">
        <f t="shared" si="17"/>
        <v>344360.25750000001</v>
      </c>
      <c r="F17" s="36">
        <f t="shared" si="17"/>
        <v>1022886.0074999999</v>
      </c>
      <c r="G17" s="5">
        <f t="shared" si="17"/>
        <v>354691.06522500003</v>
      </c>
      <c r="H17" s="5">
        <f t="shared" si="17"/>
        <v>365331.79718175001</v>
      </c>
      <c r="I17" s="5">
        <f t="shared" si="17"/>
        <v>376291.75109720253</v>
      </c>
      <c r="J17" s="36">
        <f t="shared" si="17"/>
        <v>1096314.6135039527</v>
      </c>
      <c r="K17" s="5">
        <f t="shared" si="17"/>
        <v>385699.04487463256</v>
      </c>
      <c r="L17" s="5">
        <f t="shared" si="17"/>
        <v>395341.52099649829</v>
      </c>
      <c r="M17" s="5">
        <f t="shared" si="17"/>
        <v>405225.05902141071</v>
      </c>
      <c r="N17" s="36">
        <f t="shared" si="17"/>
        <v>1186265.6248925417</v>
      </c>
      <c r="O17" s="5">
        <f t="shared" si="17"/>
        <v>421434.0613822671</v>
      </c>
      <c r="P17" s="5">
        <f t="shared" si="17"/>
        <v>438291.42383755778</v>
      </c>
      <c r="Q17" s="5">
        <f t="shared" si="17"/>
        <v>455823.08079106017</v>
      </c>
      <c r="R17" s="36">
        <f t="shared" si="17"/>
        <v>1315548.5660108849</v>
      </c>
      <c r="S17" s="35">
        <f t="shared" si="17"/>
        <v>4621014.8119073799</v>
      </c>
    </row>
    <row r="18" spans="2:19" ht="15" thickBot="1" x14ac:dyDescent="0.4">
      <c r="B18" s="30" t="s">
        <v>5</v>
      </c>
      <c r="C18" s="4">
        <f>C11-C17</f>
        <v>2052425</v>
      </c>
      <c r="D18" s="4">
        <f t="shared" ref="D18:S18" si="18">D11-D17</f>
        <v>2072949.25</v>
      </c>
      <c r="E18" s="4">
        <f t="shared" si="18"/>
        <v>2093678.7424999999</v>
      </c>
      <c r="F18" s="34">
        <f t="shared" si="18"/>
        <v>6219052.9924999997</v>
      </c>
      <c r="G18" s="4">
        <f t="shared" si="18"/>
        <v>2156489.1047749999</v>
      </c>
      <c r="H18" s="4">
        <f t="shared" si="18"/>
        <v>2221183.7779182498</v>
      </c>
      <c r="I18" s="4">
        <f t="shared" si="18"/>
        <v>2287819.2912557973</v>
      </c>
      <c r="J18" s="34">
        <f t="shared" si="18"/>
        <v>6665492.173949047</v>
      </c>
      <c r="K18" s="4">
        <f t="shared" si="18"/>
        <v>2345014.773537192</v>
      </c>
      <c r="L18" s="4">
        <f t="shared" si="18"/>
        <v>2403640.1428756216</v>
      </c>
      <c r="M18" s="4">
        <f t="shared" si="18"/>
        <v>2463731.1464475123</v>
      </c>
      <c r="N18" s="34">
        <f t="shared" si="18"/>
        <v>7212386.062860325</v>
      </c>
      <c r="O18" s="4">
        <f t="shared" si="18"/>
        <v>2562280.3923054128</v>
      </c>
      <c r="P18" s="4">
        <f t="shared" si="18"/>
        <v>2664771.6079976293</v>
      </c>
      <c r="Q18" s="4">
        <f t="shared" si="18"/>
        <v>2771362.472317535</v>
      </c>
      <c r="R18" s="34">
        <f t="shared" si="18"/>
        <v>7998414.4726205766</v>
      </c>
      <c r="S18" s="39">
        <f t="shared" si="18"/>
        <v>28095345.701929949</v>
      </c>
    </row>
    <row r="19" spans="2:19" x14ac:dyDescent="0.35">
      <c r="B19" s="28"/>
      <c r="C19" s="3"/>
      <c r="D19" s="3"/>
      <c r="E19" s="3"/>
      <c r="F19" s="35"/>
      <c r="G19" s="3"/>
      <c r="H19" s="3"/>
      <c r="I19" s="3"/>
      <c r="J19" s="35"/>
      <c r="K19" s="3"/>
      <c r="L19" s="3"/>
      <c r="M19" s="3"/>
      <c r="N19" s="35"/>
      <c r="O19" s="3"/>
      <c r="P19" s="3"/>
      <c r="Q19" s="3"/>
      <c r="R19" s="35"/>
    </row>
    <row r="20" spans="2:19" x14ac:dyDescent="0.35">
      <c r="B20" s="29" t="s">
        <v>27</v>
      </c>
      <c r="C20" s="3"/>
      <c r="D20" s="3"/>
      <c r="E20" s="3"/>
      <c r="F20" s="35"/>
      <c r="G20" s="3"/>
      <c r="H20" s="3"/>
      <c r="I20" s="3"/>
      <c r="J20" s="35"/>
      <c r="K20" s="3"/>
      <c r="L20" s="3"/>
      <c r="M20" s="3"/>
      <c r="N20" s="35"/>
      <c r="O20" s="3"/>
      <c r="P20" s="3"/>
      <c r="Q20" s="3"/>
      <c r="R20" s="35"/>
    </row>
    <row r="21" spans="2:19" x14ac:dyDescent="0.35">
      <c r="B21" s="28" t="s">
        <v>28</v>
      </c>
      <c r="C21" s="9">
        <v>3200</v>
      </c>
      <c r="D21" s="3">
        <f t="shared" ref="D21:D30" si="19">C21*(1+C$8)</f>
        <v>3232</v>
      </c>
      <c r="E21" s="3">
        <f t="shared" ref="E21:E30" si="20">D21*(1+C$8)</f>
        <v>3264.32</v>
      </c>
      <c r="F21" s="33">
        <f t="shared" ref="F21:F30" si="21">SUM(C21:E21)</f>
        <v>9696.32</v>
      </c>
      <c r="G21" s="3">
        <f t="shared" ref="G21:G30" si="22">E21*(1+G$8)</f>
        <v>3362.2496000000001</v>
      </c>
      <c r="H21" s="3">
        <f t="shared" ref="H21:H30" si="23">G21*(1+G$8)</f>
        <v>3463.117088</v>
      </c>
      <c r="I21" s="3">
        <f t="shared" ref="I21:I30" si="24">H21*(1+G$8)</f>
        <v>3567.0106006400001</v>
      </c>
      <c r="J21" s="33">
        <f t="shared" ref="J21:J30" si="25">SUM(G21:I21)</f>
        <v>10392.37728864</v>
      </c>
      <c r="K21" s="3">
        <f t="shared" ref="K21:K30" si="26">I21*(1+K$8)</f>
        <v>3656.1858656559998</v>
      </c>
      <c r="L21" s="3">
        <f t="shared" ref="L21:L30" si="27">K21*(1+K$8)</f>
        <v>3747.5905122973995</v>
      </c>
      <c r="M21" s="3">
        <f t="shared" ref="M21:M30" si="28">L21*(1+K$8)</f>
        <v>3841.2802751048343</v>
      </c>
      <c r="N21" s="33">
        <f t="shared" ref="N21:N30" si="29">SUM(K21:M21)</f>
        <v>11245.056653058235</v>
      </c>
      <c r="O21" s="3">
        <f t="shared" ref="O21:O30" si="30">M21*(1+O$8)</f>
        <v>3994.9314861090279</v>
      </c>
      <c r="P21" s="3">
        <f t="shared" ref="P21:P30" si="31">O21*(1+O$8)</f>
        <v>4154.7287455533888</v>
      </c>
      <c r="Q21" s="3">
        <f t="shared" ref="Q21:Q30" si="32">P21*(1+O$8)</f>
        <v>4320.9178953755245</v>
      </c>
      <c r="R21" s="33">
        <f t="shared" ref="R21:R30" si="33">SUM(O21:Q21)</f>
        <v>12470.578127037941</v>
      </c>
      <c r="S21" s="3">
        <f t="shared" ref="S21:S30" si="34">SUM(R21,N21,J21,F21)</f>
        <v>43804.332068736177</v>
      </c>
    </row>
    <row r="22" spans="2:19" x14ac:dyDescent="0.35">
      <c r="B22" s="28" t="s">
        <v>29</v>
      </c>
      <c r="C22" s="9">
        <v>18700</v>
      </c>
      <c r="D22" s="3">
        <f t="shared" si="19"/>
        <v>18887</v>
      </c>
      <c r="E22" s="3">
        <f t="shared" si="20"/>
        <v>19075.87</v>
      </c>
      <c r="F22" s="33">
        <f t="shared" si="21"/>
        <v>56662.869999999995</v>
      </c>
      <c r="G22" s="3">
        <f t="shared" si="22"/>
        <v>19648.146099999998</v>
      </c>
      <c r="H22" s="3">
        <f t="shared" si="23"/>
        <v>20237.590483</v>
      </c>
      <c r="I22" s="3">
        <f t="shared" si="24"/>
        <v>20844.718197490001</v>
      </c>
      <c r="J22" s="33">
        <f t="shared" si="25"/>
        <v>60730.454780489999</v>
      </c>
      <c r="K22" s="3">
        <f t="shared" si="26"/>
        <v>21365.836152427248</v>
      </c>
      <c r="L22" s="3">
        <f t="shared" si="27"/>
        <v>21899.982056237928</v>
      </c>
      <c r="M22" s="3">
        <f t="shared" si="28"/>
        <v>22447.481607643873</v>
      </c>
      <c r="N22" s="33">
        <f t="shared" si="29"/>
        <v>65713.299816309052</v>
      </c>
      <c r="O22" s="3">
        <f t="shared" si="30"/>
        <v>23345.38087194963</v>
      </c>
      <c r="P22" s="3">
        <f t="shared" si="31"/>
        <v>24279.196106827618</v>
      </c>
      <c r="Q22" s="3">
        <f t="shared" si="32"/>
        <v>25250.363951100724</v>
      </c>
      <c r="R22" s="33">
        <f t="shared" si="33"/>
        <v>72874.940929877965</v>
      </c>
      <c r="S22" s="3">
        <f t="shared" si="34"/>
        <v>255981.565526677</v>
      </c>
    </row>
    <row r="23" spans="2:19" x14ac:dyDescent="0.35">
      <c r="B23" s="28" t="s">
        <v>30</v>
      </c>
      <c r="C23" s="9">
        <v>35000</v>
      </c>
      <c r="D23" s="3">
        <f t="shared" si="19"/>
        <v>35350</v>
      </c>
      <c r="E23" s="3">
        <f t="shared" si="20"/>
        <v>35703.5</v>
      </c>
      <c r="F23" s="33">
        <f t="shared" si="21"/>
        <v>106053.5</v>
      </c>
      <c r="G23" s="3">
        <f t="shared" si="22"/>
        <v>36774.605000000003</v>
      </c>
      <c r="H23" s="3">
        <f t="shared" si="23"/>
        <v>37877.843150000008</v>
      </c>
      <c r="I23" s="3">
        <f t="shared" si="24"/>
        <v>39014.178444500008</v>
      </c>
      <c r="J23" s="33">
        <f t="shared" si="25"/>
        <v>113666.62659450002</v>
      </c>
      <c r="K23" s="3">
        <f t="shared" si="26"/>
        <v>39989.532905612505</v>
      </c>
      <c r="L23" s="3">
        <f t="shared" si="27"/>
        <v>40989.271228252815</v>
      </c>
      <c r="M23" s="3">
        <f t="shared" si="28"/>
        <v>42014.003008959131</v>
      </c>
      <c r="N23" s="33">
        <f t="shared" si="29"/>
        <v>122992.80714282444</v>
      </c>
      <c r="O23" s="3">
        <f t="shared" si="30"/>
        <v>43694.563129317496</v>
      </c>
      <c r="P23" s="3">
        <f t="shared" si="31"/>
        <v>45442.3456544902</v>
      </c>
      <c r="Q23" s="3">
        <f t="shared" si="32"/>
        <v>47260.03948066981</v>
      </c>
      <c r="R23" s="33">
        <f t="shared" si="33"/>
        <v>136396.94826447751</v>
      </c>
      <c r="S23" s="3">
        <f t="shared" si="34"/>
        <v>479109.88200180198</v>
      </c>
    </row>
    <row r="24" spans="2:19" x14ac:dyDescent="0.35">
      <c r="B24" s="28" t="s">
        <v>31</v>
      </c>
      <c r="C24" s="9">
        <v>34500</v>
      </c>
      <c r="D24" s="3">
        <f t="shared" si="19"/>
        <v>34845</v>
      </c>
      <c r="E24" s="3">
        <f t="shared" si="20"/>
        <v>35193.449999999997</v>
      </c>
      <c r="F24" s="33">
        <f t="shared" si="21"/>
        <v>104538.45</v>
      </c>
      <c r="G24" s="3">
        <f t="shared" si="22"/>
        <v>36249.253499999999</v>
      </c>
      <c r="H24" s="3">
        <f t="shared" si="23"/>
        <v>37336.731104999999</v>
      </c>
      <c r="I24" s="3">
        <f t="shared" si="24"/>
        <v>38456.833038149998</v>
      </c>
      <c r="J24" s="33">
        <f t="shared" si="25"/>
        <v>112042.81764315</v>
      </c>
      <c r="K24" s="3">
        <f t="shared" si="26"/>
        <v>39418.253864103746</v>
      </c>
      <c r="L24" s="3">
        <f t="shared" si="27"/>
        <v>40403.710210706333</v>
      </c>
      <c r="M24" s="3">
        <f t="shared" si="28"/>
        <v>41413.802965973984</v>
      </c>
      <c r="N24" s="33">
        <f t="shared" si="29"/>
        <v>121235.76704078406</v>
      </c>
      <c r="O24" s="3">
        <f t="shared" si="30"/>
        <v>43070.355084612944</v>
      </c>
      <c r="P24" s="3">
        <f t="shared" si="31"/>
        <v>44793.169287997465</v>
      </c>
      <c r="Q24" s="3">
        <f t="shared" si="32"/>
        <v>46584.896059517363</v>
      </c>
      <c r="R24" s="33">
        <f t="shared" si="33"/>
        <v>134448.42043212778</v>
      </c>
      <c r="S24" s="3">
        <f t="shared" si="34"/>
        <v>472265.45511606184</v>
      </c>
    </row>
    <row r="25" spans="2:19" x14ac:dyDescent="0.35">
      <c r="B25" s="28" t="s">
        <v>32</v>
      </c>
      <c r="C25" s="9">
        <v>12000</v>
      </c>
      <c r="D25" s="3">
        <f t="shared" si="19"/>
        <v>12120</v>
      </c>
      <c r="E25" s="3">
        <f t="shared" si="20"/>
        <v>12241.2</v>
      </c>
      <c r="F25" s="33">
        <f t="shared" si="21"/>
        <v>36361.199999999997</v>
      </c>
      <c r="G25" s="3">
        <f t="shared" si="22"/>
        <v>12608.436000000002</v>
      </c>
      <c r="H25" s="3">
        <f t="shared" si="23"/>
        <v>12986.689080000002</v>
      </c>
      <c r="I25" s="3">
        <f t="shared" si="24"/>
        <v>13376.289752400002</v>
      </c>
      <c r="J25" s="33">
        <f t="shared" si="25"/>
        <v>38971.414832400005</v>
      </c>
      <c r="K25" s="3">
        <f t="shared" si="26"/>
        <v>13710.696996210001</v>
      </c>
      <c r="L25" s="3">
        <f t="shared" si="27"/>
        <v>14053.46442111525</v>
      </c>
      <c r="M25" s="3">
        <f t="shared" si="28"/>
        <v>14404.80103164313</v>
      </c>
      <c r="N25" s="33">
        <f t="shared" si="29"/>
        <v>42168.962448968385</v>
      </c>
      <c r="O25" s="3">
        <f t="shared" si="30"/>
        <v>14980.993072908856</v>
      </c>
      <c r="P25" s="3">
        <f t="shared" si="31"/>
        <v>15580.23279582521</v>
      </c>
      <c r="Q25" s="3">
        <f t="shared" si="32"/>
        <v>16203.442107658218</v>
      </c>
      <c r="R25" s="33">
        <f t="shared" si="33"/>
        <v>46764.667976392288</v>
      </c>
      <c r="S25" s="3">
        <f t="shared" si="34"/>
        <v>164266.24525776069</v>
      </c>
    </row>
    <row r="26" spans="2:19" x14ac:dyDescent="0.35">
      <c r="B26" s="28" t="s">
        <v>33</v>
      </c>
      <c r="C26" s="9">
        <v>75000</v>
      </c>
      <c r="D26" s="3">
        <f t="shared" si="19"/>
        <v>75750</v>
      </c>
      <c r="E26" s="3">
        <f t="shared" si="20"/>
        <v>76507.5</v>
      </c>
      <c r="F26" s="33">
        <f t="shared" si="21"/>
        <v>227257.5</v>
      </c>
      <c r="G26" s="3">
        <f t="shared" si="22"/>
        <v>78802.725000000006</v>
      </c>
      <c r="H26" s="3">
        <f t="shared" si="23"/>
        <v>81166.806750000003</v>
      </c>
      <c r="I26" s="3">
        <f t="shared" si="24"/>
        <v>83601.810952500004</v>
      </c>
      <c r="J26" s="33">
        <f t="shared" si="25"/>
        <v>243571.34270250003</v>
      </c>
      <c r="K26" s="3">
        <f t="shared" si="26"/>
        <v>85691.856226312491</v>
      </c>
      <c r="L26" s="3">
        <f t="shared" si="27"/>
        <v>87834.152631970297</v>
      </c>
      <c r="M26" s="3">
        <f t="shared" si="28"/>
        <v>90030.006447769541</v>
      </c>
      <c r="N26" s="33">
        <f t="shared" si="29"/>
        <v>263556.01530605234</v>
      </c>
      <c r="O26" s="3">
        <f t="shared" si="30"/>
        <v>93631.206705680321</v>
      </c>
      <c r="P26" s="3">
        <f t="shared" si="31"/>
        <v>97376.45497390753</v>
      </c>
      <c r="Q26" s="3">
        <f t="shared" si="32"/>
        <v>101271.51317286384</v>
      </c>
      <c r="R26" s="33">
        <f t="shared" si="33"/>
        <v>292279.17485245166</v>
      </c>
      <c r="S26" s="3">
        <f t="shared" si="34"/>
        <v>1026664.0328610041</v>
      </c>
    </row>
    <row r="27" spans="2:19" x14ac:dyDescent="0.35">
      <c r="B27" s="28" t="s">
        <v>34</v>
      </c>
      <c r="C27" s="9">
        <v>125000</v>
      </c>
      <c r="D27" s="3">
        <f t="shared" si="19"/>
        <v>126250</v>
      </c>
      <c r="E27" s="3">
        <f t="shared" si="20"/>
        <v>127512.5</v>
      </c>
      <c r="F27" s="33">
        <f t="shared" si="21"/>
        <v>378762.5</v>
      </c>
      <c r="G27" s="3">
        <f t="shared" si="22"/>
        <v>131337.875</v>
      </c>
      <c r="H27" s="3">
        <f t="shared" si="23"/>
        <v>135278.01125000001</v>
      </c>
      <c r="I27" s="3">
        <f t="shared" si="24"/>
        <v>139336.35158750002</v>
      </c>
      <c r="J27" s="33">
        <f t="shared" si="25"/>
        <v>405952.2378375</v>
      </c>
      <c r="K27" s="3">
        <f t="shared" si="26"/>
        <v>142819.76037718751</v>
      </c>
      <c r="L27" s="3">
        <f t="shared" si="27"/>
        <v>146390.25438661719</v>
      </c>
      <c r="M27" s="3">
        <f t="shared" si="28"/>
        <v>150050.01074628261</v>
      </c>
      <c r="N27" s="33">
        <f t="shared" si="29"/>
        <v>439260.02551008738</v>
      </c>
      <c r="O27" s="3">
        <f t="shared" si="30"/>
        <v>156052.01117613394</v>
      </c>
      <c r="P27" s="3">
        <f t="shared" si="31"/>
        <v>162294.09162317929</v>
      </c>
      <c r="Q27" s="3">
        <f t="shared" si="32"/>
        <v>168785.85528810648</v>
      </c>
      <c r="R27" s="33">
        <f t="shared" si="33"/>
        <v>487131.95808741974</v>
      </c>
      <c r="S27" s="3">
        <f t="shared" si="34"/>
        <v>1711106.7214350072</v>
      </c>
    </row>
    <row r="28" spans="2:19" x14ac:dyDescent="0.35">
      <c r="B28" s="28" t="s">
        <v>35</v>
      </c>
      <c r="C28" s="9">
        <v>25000</v>
      </c>
      <c r="D28" s="3">
        <f t="shared" si="19"/>
        <v>25250</v>
      </c>
      <c r="E28" s="3">
        <f t="shared" si="20"/>
        <v>25502.5</v>
      </c>
      <c r="F28" s="33">
        <f t="shared" si="21"/>
        <v>75752.5</v>
      </c>
      <c r="G28" s="3">
        <f t="shared" si="22"/>
        <v>26267.575000000001</v>
      </c>
      <c r="H28" s="3">
        <f t="shared" si="23"/>
        <v>27055.60225</v>
      </c>
      <c r="I28" s="3">
        <f t="shared" si="24"/>
        <v>27867.270317500002</v>
      </c>
      <c r="J28" s="33">
        <f t="shared" si="25"/>
        <v>81190.447567499999</v>
      </c>
      <c r="K28" s="3">
        <f t="shared" si="26"/>
        <v>28563.952075437501</v>
      </c>
      <c r="L28" s="3">
        <f t="shared" si="27"/>
        <v>29278.050877323436</v>
      </c>
      <c r="M28" s="3">
        <f t="shared" si="28"/>
        <v>30010.002149256521</v>
      </c>
      <c r="N28" s="33">
        <f t="shared" si="29"/>
        <v>87852.005102017458</v>
      </c>
      <c r="O28" s="3">
        <f t="shared" si="30"/>
        <v>31210.402235226782</v>
      </c>
      <c r="P28" s="3">
        <f t="shared" si="31"/>
        <v>32458.818324635853</v>
      </c>
      <c r="Q28" s="3">
        <f t="shared" si="32"/>
        <v>33757.171057621286</v>
      </c>
      <c r="R28" s="33">
        <f t="shared" si="33"/>
        <v>97426.391617483925</v>
      </c>
      <c r="S28" s="3">
        <f t="shared" si="34"/>
        <v>342221.34428700141</v>
      </c>
    </row>
    <row r="29" spans="2:19" x14ac:dyDescent="0.35">
      <c r="B29" s="28" t="s">
        <v>3</v>
      </c>
      <c r="C29" s="9">
        <v>10000</v>
      </c>
      <c r="D29" s="3">
        <f t="shared" si="19"/>
        <v>10100</v>
      </c>
      <c r="E29" s="3">
        <f t="shared" si="20"/>
        <v>10201</v>
      </c>
      <c r="F29" s="33">
        <f t="shared" si="21"/>
        <v>30301</v>
      </c>
      <c r="G29" s="3">
        <f t="shared" si="22"/>
        <v>10507.03</v>
      </c>
      <c r="H29" s="3">
        <f t="shared" si="23"/>
        <v>10822.240900000001</v>
      </c>
      <c r="I29" s="3">
        <f t="shared" si="24"/>
        <v>11146.908127000001</v>
      </c>
      <c r="J29" s="33">
        <f t="shared" si="25"/>
        <v>32476.179027000006</v>
      </c>
      <c r="K29" s="3">
        <f t="shared" si="26"/>
        <v>11425.580830175</v>
      </c>
      <c r="L29" s="3">
        <f t="shared" si="27"/>
        <v>11711.220350929374</v>
      </c>
      <c r="M29" s="3">
        <f t="shared" si="28"/>
        <v>12004.000859702608</v>
      </c>
      <c r="N29" s="33">
        <f t="shared" si="29"/>
        <v>35140.802040806986</v>
      </c>
      <c r="O29" s="3">
        <f t="shared" si="30"/>
        <v>12484.160894090714</v>
      </c>
      <c r="P29" s="3">
        <f t="shared" si="31"/>
        <v>12983.527329854343</v>
      </c>
      <c r="Q29" s="3">
        <f t="shared" si="32"/>
        <v>13502.868423048518</v>
      </c>
      <c r="R29" s="33">
        <f t="shared" si="33"/>
        <v>38970.556646993573</v>
      </c>
      <c r="S29" s="3">
        <f t="shared" si="34"/>
        <v>136888.53771480056</v>
      </c>
    </row>
    <row r="30" spans="2:19" ht="15" thickBot="1" x14ac:dyDescent="0.4">
      <c r="B30" s="28" t="s">
        <v>36</v>
      </c>
      <c r="C30" s="9">
        <v>7500</v>
      </c>
      <c r="D30" s="3">
        <f t="shared" si="19"/>
        <v>7575</v>
      </c>
      <c r="E30" s="3">
        <f t="shared" si="20"/>
        <v>7650.75</v>
      </c>
      <c r="F30" s="33">
        <f t="shared" si="21"/>
        <v>22725.75</v>
      </c>
      <c r="G30" s="3">
        <f t="shared" si="22"/>
        <v>7880.2725</v>
      </c>
      <c r="H30" s="3">
        <f t="shared" si="23"/>
        <v>8116.6806750000005</v>
      </c>
      <c r="I30" s="3">
        <f t="shared" si="24"/>
        <v>8360.18109525</v>
      </c>
      <c r="J30" s="33">
        <f t="shared" si="25"/>
        <v>24357.134270250001</v>
      </c>
      <c r="K30" s="3">
        <f t="shared" si="26"/>
        <v>8569.1856226312484</v>
      </c>
      <c r="L30" s="3">
        <f t="shared" si="27"/>
        <v>8783.4152631970283</v>
      </c>
      <c r="M30" s="3">
        <f t="shared" si="28"/>
        <v>9003.0006447769538</v>
      </c>
      <c r="N30" s="33">
        <f t="shared" si="29"/>
        <v>26355.601530605229</v>
      </c>
      <c r="O30" s="3">
        <f t="shared" si="30"/>
        <v>9363.1206705680324</v>
      </c>
      <c r="P30" s="3">
        <f t="shared" si="31"/>
        <v>9737.6454973907548</v>
      </c>
      <c r="Q30" s="3">
        <f t="shared" si="32"/>
        <v>10127.151317286385</v>
      </c>
      <c r="R30" s="33">
        <f t="shared" si="33"/>
        <v>29227.917485245172</v>
      </c>
      <c r="S30" s="3">
        <f t="shared" si="34"/>
        <v>102666.40328610039</v>
      </c>
    </row>
    <row r="31" spans="2:19" ht="15" thickBot="1" x14ac:dyDescent="0.4">
      <c r="B31" s="27" t="s">
        <v>6</v>
      </c>
      <c r="C31" s="4">
        <f>SUM(C21:C30)</f>
        <v>345900</v>
      </c>
      <c r="D31" s="4">
        <f t="shared" ref="D31:S31" si="35">SUM(D21:D30)</f>
        <v>349359</v>
      </c>
      <c r="E31" s="4">
        <f t="shared" si="35"/>
        <v>352852.58999999997</v>
      </c>
      <c r="F31" s="34">
        <f t="shared" si="35"/>
        <v>1048111.5900000001</v>
      </c>
      <c r="G31" s="4">
        <f t="shared" si="35"/>
        <v>363438.16770000005</v>
      </c>
      <c r="H31" s="4">
        <f t="shared" si="35"/>
        <v>374341.31273099995</v>
      </c>
      <c r="I31" s="4">
        <f t="shared" si="35"/>
        <v>385571.55211292999</v>
      </c>
      <c r="J31" s="34">
        <f t="shared" si="35"/>
        <v>1123351.03254393</v>
      </c>
      <c r="K31" s="4">
        <f t="shared" si="35"/>
        <v>395210.84091575327</v>
      </c>
      <c r="L31" s="4">
        <f t="shared" si="35"/>
        <v>405091.11193864699</v>
      </c>
      <c r="M31" s="4">
        <f t="shared" si="35"/>
        <v>415218.38973711315</v>
      </c>
      <c r="N31" s="34">
        <f t="shared" si="35"/>
        <v>1215520.3425915136</v>
      </c>
      <c r="O31" s="4">
        <f t="shared" si="35"/>
        <v>431827.12532659771</v>
      </c>
      <c r="P31" s="4">
        <f t="shared" si="35"/>
        <v>449100.21033966163</v>
      </c>
      <c r="Q31" s="4">
        <f t="shared" si="35"/>
        <v>467064.21875324816</v>
      </c>
      <c r="R31" s="34">
        <f t="shared" si="35"/>
        <v>1347991.5544195077</v>
      </c>
      <c r="S31" s="39">
        <f t="shared" si="35"/>
        <v>4734974.5195549512</v>
      </c>
    </row>
    <row r="32" spans="2:19" x14ac:dyDescent="0.35">
      <c r="B32" s="28"/>
      <c r="C32" s="3"/>
      <c r="D32" s="3"/>
      <c r="E32" s="3"/>
      <c r="F32" s="3"/>
      <c r="G32" s="3"/>
      <c r="H32" s="3"/>
      <c r="I32" s="3"/>
      <c r="J32" s="35"/>
      <c r="K32" s="3"/>
      <c r="L32" s="3"/>
      <c r="M32" s="3"/>
      <c r="N32" s="35"/>
      <c r="O32" s="3"/>
      <c r="P32" s="3"/>
      <c r="Q32" s="3"/>
      <c r="R32" s="35"/>
    </row>
    <row r="33" spans="2:19" s="24" customFormat="1" ht="16" thickBot="1" x14ac:dyDescent="0.4">
      <c r="B33" s="31" t="s">
        <v>7</v>
      </c>
      <c r="C33" s="22">
        <f>C18-C31</f>
        <v>1706525</v>
      </c>
      <c r="D33" s="22">
        <f t="shared" ref="D33:S33" si="36">D18-D31</f>
        <v>1723590.25</v>
      </c>
      <c r="E33" s="22">
        <f t="shared" si="36"/>
        <v>1740826.1524999999</v>
      </c>
      <c r="F33" s="23">
        <f t="shared" si="36"/>
        <v>5170941.4024999999</v>
      </c>
      <c r="G33" s="22">
        <f t="shared" si="36"/>
        <v>1793050.9370749998</v>
      </c>
      <c r="H33" s="22">
        <f t="shared" si="36"/>
        <v>1846842.4651872499</v>
      </c>
      <c r="I33" s="22">
        <f t="shared" si="36"/>
        <v>1902247.7391428673</v>
      </c>
      <c r="J33" s="23">
        <f t="shared" si="36"/>
        <v>5542141.1414051168</v>
      </c>
      <c r="K33" s="22">
        <f t="shared" si="36"/>
        <v>1949803.9326214388</v>
      </c>
      <c r="L33" s="22">
        <f t="shared" si="36"/>
        <v>1998549.0309369746</v>
      </c>
      <c r="M33" s="22">
        <f t="shared" si="36"/>
        <v>2048512.7567103992</v>
      </c>
      <c r="N33" s="23">
        <f t="shared" si="36"/>
        <v>5996865.7202688111</v>
      </c>
      <c r="O33" s="22">
        <f t="shared" si="36"/>
        <v>2130453.2669788152</v>
      </c>
      <c r="P33" s="22">
        <f t="shared" si="36"/>
        <v>2215671.3976579676</v>
      </c>
      <c r="Q33" s="22">
        <f t="shared" si="36"/>
        <v>2304298.253564287</v>
      </c>
      <c r="R33" s="23">
        <f t="shared" si="36"/>
        <v>6650422.9182010684</v>
      </c>
      <c r="S33" s="22">
        <f t="shared" si="36"/>
        <v>23360371.182374999</v>
      </c>
    </row>
    <row r="34" spans="2:19" ht="15" thickTop="1" x14ac:dyDescent="0.35"/>
    <row r="35" spans="2:19" x14ac:dyDescent="0.35">
      <c r="D35" s="13" t="s">
        <v>39</v>
      </c>
      <c r="E35" s="14">
        <v>1500000</v>
      </c>
      <c r="F35" s="15"/>
      <c r="G35" s="15" t="s">
        <v>41</v>
      </c>
      <c r="H35" s="16">
        <v>0.01</v>
      </c>
    </row>
    <row r="36" spans="2:19" x14ac:dyDescent="0.35">
      <c r="D36" s="17" t="s">
        <v>40</v>
      </c>
      <c r="E36" s="18">
        <v>50000</v>
      </c>
      <c r="F36" s="19"/>
      <c r="G36" s="19" t="s">
        <v>40</v>
      </c>
      <c r="H36" s="20">
        <v>5.0000000000000001E-3</v>
      </c>
    </row>
    <row r="38" spans="2:19" ht="21" x14ac:dyDescent="0.5">
      <c r="B38" s="21">
        <f>B7</f>
        <v>23360371.182374999</v>
      </c>
      <c r="C38" s="11">
        <f>H35</f>
        <v>0.01</v>
      </c>
      <c r="D38" s="11">
        <f>C38+$H$36</f>
        <v>1.4999999999999999E-2</v>
      </c>
      <c r="E38" s="11">
        <f t="shared" ref="E38:I38" si="37">D38+$H$36</f>
        <v>0.02</v>
      </c>
      <c r="F38" s="11">
        <f t="shared" si="37"/>
        <v>2.5000000000000001E-2</v>
      </c>
      <c r="G38" s="11">
        <f t="shared" si="37"/>
        <v>3.0000000000000002E-2</v>
      </c>
      <c r="H38" s="11">
        <f t="shared" si="37"/>
        <v>3.5000000000000003E-2</v>
      </c>
      <c r="I38" s="11">
        <f t="shared" si="37"/>
        <v>0.04</v>
      </c>
    </row>
    <row r="39" spans="2:19" x14ac:dyDescent="0.35">
      <c r="B39" s="12">
        <f>E35</f>
        <v>1500000</v>
      </c>
      <c r="C39" s="10">
        <f t="dataTable" ref="C39:I51" dt2D="1" dtr="1" r1="C8" r2="C9"/>
        <v>23360371.182374999</v>
      </c>
      <c r="D39" s="10">
        <v>23566721.512811027</v>
      </c>
      <c r="E39" s="10">
        <v>23774048.720804777</v>
      </c>
      <c r="F39" s="10">
        <v>23982352.806356214</v>
      </c>
      <c r="G39" s="10">
        <v>24191633.769465379</v>
      </c>
      <c r="H39" s="10">
        <v>24401891.610132247</v>
      </c>
      <c r="I39" s="10">
        <v>24613126.328356832</v>
      </c>
    </row>
    <row r="40" spans="2:19" x14ac:dyDescent="0.35">
      <c r="B40" s="12">
        <f>B39+$E$36</f>
        <v>1550000</v>
      </c>
      <c r="C40" s="10">
        <v>24044813.870949004</v>
      </c>
      <c r="D40" s="10">
        <v>24257210.123080753</v>
      </c>
      <c r="E40" s="10">
        <v>24470611.874605771</v>
      </c>
      <c r="F40" s="10">
        <v>24685019.125524007</v>
      </c>
      <c r="G40" s="10">
        <v>24900431.875835508</v>
      </c>
      <c r="H40" s="10">
        <v>25116850.125540234</v>
      </c>
      <c r="I40" s="10">
        <v>25334273.874638215</v>
      </c>
    </row>
    <row r="41" spans="2:19" x14ac:dyDescent="0.35">
      <c r="B41" s="12">
        <f t="shared" ref="B41:B51" si="38">B40+$E$36</f>
        <v>1600000</v>
      </c>
      <c r="C41" s="10">
        <v>24729256.559523009</v>
      </c>
      <c r="D41" s="10">
        <v>24947698.733350486</v>
      </c>
      <c r="E41" s="10">
        <v>25167175.028406758</v>
      </c>
      <c r="F41" s="10">
        <v>25387685.4446918</v>
      </c>
      <c r="G41" s="10">
        <v>25609229.982205622</v>
      </c>
      <c r="H41" s="10">
        <v>25831808.640948214</v>
      </c>
      <c r="I41" s="10">
        <v>26055421.420919597</v>
      </c>
    </row>
    <row r="42" spans="2:19" x14ac:dyDescent="0.35">
      <c r="B42" s="12">
        <f t="shared" si="38"/>
        <v>1650000</v>
      </c>
      <c r="C42" s="10">
        <v>25413699.24809701</v>
      </c>
      <c r="D42" s="10">
        <v>25638187.343620218</v>
      </c>
      <c r="E42" s="10">
        <v>25863738.182207752</v>
      </c>
      <c r="F42" s="10">
        <v>26090351.763859585</v>
      </c>
      <c r="G42" s="10">
        <v>26318028.088575743</v>
      </c>
      <c r="H42" s="10">
        <v>26546767.156356201</v>
      </c>
      <c r="I42" s="10">
        <v>26776568.96720098</v>
      </c>
    </row>
    <row r="43" spans="2:19" x14ac:dyDescent="0.35">
      <c r="B43" s="12">
        <f t="shared" si="38"/>
        <v>1700000</v>
      </c>
      <c r="C43" s="10">
        <v>26098141.936671011</v>
      </c>
      <c r="D43" s="10">
        <v>26328675.953889951</v>
      </c>
      <c r="E43" s="10">
        <v>26560301.336008746</v>
      </c>
      <c r="F43" s="10">
        <v>26793018.08302737</v>
      </c>
      <c r="G43" s="10">
        <v>27026826.194945864</v>
      </c>
      <c r="H43" s="10">
        <v>27261725.671764188</v>
      </c>
      <c r="I43" s="10">
        <v>27497716.513482369</v>
      </c>
    </row>
    <row r="44" spans="2:19" x14ac:dyDescent="0.35">
      <c r="B44" s="12">
        <f t="shared" si="38"/>
        <v>1750000</v>
      </c>
      <c r="C44" s="10">
        <v>26782584.625245012</v>
      </c>
      <c r="D44" s="10">
        <v>27019164.564159676</v>
      </c>
      <c r="E44" s="10">
        <v>27256864.48980974</v>
      </c>
      <c r="F44" s="10">
        <v>27495684.402195163</v>
      </c>
      <c r="G44" s="10">
        <v>27735624.301315986</v>
      </c>
      <c r="H44" s="10">
        <v>27976684.187172174</v>
      </c>
      <c r="I44" s="10">
        <v>28218864.059763759</v>
      </c>
    </row>
    <row r="45" spans="2:19" x14ac:dyDescent="0.35">
      <c r="B45" s="12">
        <f t="shared" si="38"/>
        <v>1800000</v>
      </c>
      <c r="C45" s="10">
        <v>27467027.313819014</v>
      </c>
      <c r="D45" s="10">
        <v>27709653.174429409</v>
      </c>
      <c r="E45" s="10">
        <v>27953427.643610734</v>
      </c>
      <c r="F45" s="10">
        <v>28198350.721362948</v>
      </c>
      <c r="G45" s="10">
        <v>28444422.407686107</v>
      </c>
      <c r="H45" s="10">
        <v>28691642.702580161</v>
      </c>
      <c r="I45" s="10">
        <v>28940011.606045146</v>
      </c>
    </row>
    <row r="46" spans="2:19" x14ac:dyDescent="0.35">
      <c r="B46" s="12">
        <f t="shared" si="38"/>
        <v>1850000</v>
      </c>
      <c r="C46" s="10">
        <v>28151470.002393022</v>
      </c>
      <c r="D46" s="10">
        <v>28400141.784699135</v>
      </c>
      <c r="E46" s="10">
        <v>28649990.797411729</v>
      </c>
      <c r="F46" s="10">
        <v>28901017.040530741</v>
      </c>
      <c r="G46" s="10">
        <v>29153220.514056224</v>
      </c>
      <c r="H46" s="10">
        <v>29406601.217988148</v>
      </c>
      <c r="I46" s="10">
        <v>29661159.152326528</v>
      </c>
    </row>
    <row r="47" spans="2:19" x14ac:dyDescent="0.35">
      <c r="B47" s="12">
        <f t="shared" si="38"/>
        <v>1900000</v>
      </c>
      <c r="C47" s="10">
        <v>28835912.690967016</v>
      </c>
      <c r="D47" s="10">
        <v>29090630.394968867</v>
      </c>
      <c r="E47" s="10">
        <v>29346553.951212708</v>
      </c>
      <c r="F47" s="10">
        <v>29603683.359698527</v>
      </c>
      <c r="G47" s="10">
        <v>29862018.620426346</v>
      </c>
      <c r="H47" s="10">
        <v>30121559.733396128</v>
      </c>
      <c r="I47" s="10">
        <v>30382306.698607918</v>
      </c>
    </row>
    <row r="48" spans="2:19" x14ac:dyDescent="0.35">
      <c r="B48" s="12">
        <f t="shared" si="38"/>
        <v>1950000</v>
      </c>
      <c r="C48" s="10">
        <v>29520355.379541025</v>
      </c>
      <c r="D48" s="10">
        <v>29781119.005238608</v>
      </c>
      <c r="E48" s="10">
        <v>30043117.105013702</v>
      </c>
      <c r="F48" s="10">
        <v>30306349.678866319</v>
      </c>
      <c r="G48" s="10">
        <v>30570816.726796467</v>
      </c>
      <c r="H48" s="10">
        <v>30836518.248804115</v>
      </c>
      <c r="I48" s="10">
        <v>31103454.244889308</v>
      </c>
    </row>
    <row r="49" spans="2:9" x14ac:dyDescent="0.35">
      <c r="B49" s="12">
        <f t="shared" si="38"/>
        <v>2000000</v>
      </c>
      <c r="C49" s="10">
        <v>30204798.068115033</v>
      </c>
      <c r="D49" s="10">
        <v>30471607.615508325</v>
      </c>
      <c r="E49" s="10">
        <v>30739680.258814711</v>
      </c>
      <c r="F49" s="10">
        <v>31009015.998034112</v>
      </c>
      <c r="G49" s="10">
        <v>31279614.833166588</v>
      </c>
      <c r="H49" s="10">
        <v>31551476.764212102</v>
      </c>
      <c r="I49" s="10">
        <v>31824601.791170683</v>
      </c>
    </row>
    <row r="50" spans="2:9" x14ac:dyDescent="0.35">
      <c r="B50" s="12">
        <f t="shared" si="38"/>
        <v>2050000</v>
      </c>
      <c r="C50" s="10">
        <v>30889240.756689034</v>
      </c>
      <c r="D50" s="10">
        <v>31162096.225778051</v>
      </c>
      <c r="E50" s="10">
        <v>31436243.412615705</v>
      </c>
      <c r="F50" s="10">
        <v>31711682.317201905</v>
      </c>
      <c r="G50" s="10">
        <v>31988412.939536709</v>
      </c>
      <c r="H50" s="10">
        <v>32266435.279620089</v>
      </c>
      <c r="I50" s="10">
        <v>32545749.337452073</v>
      </c>
    </row>
    <row r="51" spans="2:9" x14ac:dyDescent="0.35">
      <c r="B51" s="12">
        <f t="shared" si="38"/>
        <v>2100000</v>
      </c>
      <c r="C51" s="10">
        <v>31573683.445263036</v>
      </c>
      <c r="D51" s="10">
        <v>31852584.836047798</v>
      </c>
      <c r="E51" s="10">
        <v>32132806.566416685</v>
      </c>
      <c r="F51" s="10">
        <v>32414348.63636969</v>
      </c>
      <c r="G51" s="10">
        <v>32697211.045906831</v>
      </c>
      <c r="H51" s="10">
        <v>32981393.795028076</v>
      </c>
      <c r="I51" s="10">
        <v>33266896.883733463</v>
      </c>
    </row>
    <row r="52" spans="2:9" x14ac:dyDescent="0.35">
      <c r="B52" s="3"/>
    </row>
    <row r="53" spans="2:9" x14ac:dyDescent="0.35">
      <c r="B53" s="3"/>
    </row>
    <row r="54" spans="2:9" x14ac:dyDescent="0.35">
      <c r="B54" s="3"/>
    </row>
    <row r="55" spans="2:9" x14ac:dyDescent="0.35">
      <c r="B55" s="3"/>
    </row>
  </sheetData>
  <mergeCells count="2">
    <mergeCell ref="B1:S3"/>
    <mergeCell ref="B5:S5"/>
  </mergeCells>
  <phoneticPr fontId="3" type="noConversion"/>
  <conditionalFormatting sqref="C39:I51">
    <cfRule type="expression" dxfId="1" priority="1">
      <formula>C39&gt;25000000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Budget Projections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Rajaselvi Essakkimuthu Yadav</cp:lastModifiedBy>
  <dcterms:created xsi:type="dcterms:W3CDTF">2025-07-15T09:17:37Z</dcterms:created>
  <dcterms:modified xsi:type="dcterms:W3CDTF">2026-04-06T09:38:51Z</dcterms:modified>
</cp:coreProperties>
</file>